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8b57703e054d72" /></Relationships>
</file>

<file path=xl/workbook.xml><?xml version="1.0" encoding="utf-8"?>
<x:workbook xmlns:x="http://schemas.openxmlformats.org/spreadsheetml/2006/main">
  <x:sheets>
    <x:sheet xmlns:r="http://schemas.openxmlformats.org/officeDocument/2006/relationships" name="Categories" sheetId="1" r:id="Rcfca23debd314c6d"/>
    <x:sheet xmlns:r="http://schemas.openxmlformats.org/officeDocument/2006/relationships" name="Expense Log" sheetId="2" r:id="R844ae806d1334473"/>
    <x:sheet xmlns:r="http://schemas.openxmlformats.org/officeDocument/2006/relationships" name="Summary" sheetId="3" r:id="R23a48fb179914cdd"/>
    <x:sheet xmlns:r="http://schemas.openxmlformats.org/officeDocument/2006/relationships" name="Entry Form" sheetId="4" r:id="Rb8f2539258b4406d"/>
    <x:sheet xmlns:r="http://schemas.openxmlformats.org/officeDocument/2006/relationships" name="Guidelines" sheetId="5" r:id="Rb7e1fe9ce54f4d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quot;$&quot;#,##0.00"/>
    <x:numFmt numFmtId="202" formatCode="0"/>
  </x:numFmts>
  <x:fonts count="7">
    <x:font>
      <x:sz val="11"/>
      <x:name val="Carlito"/>
    </x:font>
    <x:font>
      <x:b/>
      <x:sz val="16"/>
      <x:color rgb="FFFFFFFF"/>
      <x:name val="Carlito"/>
    </x:font>
    <x:font>
      <x:b/>
      <x:sz val="11"/>
      <x:color rgb="FFFFFFFF"/>
      <x:name val="Carlito"/>
    </x:font>
    <x:font>
      <x:sz val="11"/>
      <x:color rgb="FF17212B"/>
      <x:name val="Carlito"/>
    </x:font>
    <x:font>
      <x:b/>
      <x:sz val="11"/>
      <x:color rgb="FF17324D"/>
      <x:name val="Carlito"/>
    </x:font>
    <x:font>
      <x:b/>
      <x:sz val="11"/>
      <x:color rgb="FF17212B"/>
      <x:name val="Carlito"/>
    </x:font>
    <x:font>
      <x:sz val="11"/>
      <x:color rgb="FF17324D"/>
      <x:name val="Carlito"/>
    </x:font>
  </x:fonts>
  <x:fills count="9">
    <x:fill>
      <x:patternFill patternType="none"/>
    </x:fill>
    <x:fill>
      <x:patternFill patternType="gray125"/>
    </x:fill>
    <x:fill>
      <x:patternFill patternType="solid">
        <x:fgColor rgb="FF17324D"/>
      </x:patternFill>
    </x:fill>
    <x:fill>
      <x:patternFill patternType="solid">
        <x:fgColor rgb="FF147D78"/>
      </x:patternFill>
    </x:fill>
    <x:fill>
      <x:patternFill patternType="solid">
        <x:fgColor rgb="FFF4F7FA"/>
      </x:patternFill>
    </x:fill>
    <x:fill>
      <x:patternFill patternType="solid">
        <x:fgColor rgb="FFDDF3EF"/>
      </x:patternFill>
    </x:fill>
    <x:fill>
      <x:patternFill patternType="solid">
        <x:fgColor rgb="FFFFFFFF"/>
      </x:patternFill>
    </x:fill>
    <x:fill>
      <x:patternFill patternType="solid">
        <x:fgColor rgb="FFFFF4C2"/>
      </x:patternFill>
    </x:fill>
    <x:fill>
      <x:patternFill patternType="solid">
        <x:fgColor rgb="FFD9EFD8"/>
      </x:patternFill>
    </x:fill>
  </x:fills>
  <x:borders count="22">
    <x:border/>
    <x:border>
      <x:right style="thin">
        <x:color rgb="FFB9D8D5"/>
      </x:right>
    </x:border>
    <x:border>
      <x:left style="thin">
        <x:color rgb="FFB9D8D5"/>
      </x:left>
      <x:right style="thin">
        <x:color rgb="FFB9D8D5"/>
      </x:right>
    </x:border>
    <x:border>
      <x:left style="thin">
        <x:color rgb="FFB9D8D5"/>
      </x:left>
    </x:border>
    <x:border>
      <x:right style="thin">
        <x:color rgb="FFCBD5DF"/>
      </x:right>
      <x:bottom style="thin">
        <x:color rgb="FFCBD5DF"/>
      </x:bottom>
    </x:border>
    <x:border>
      <x:left style="thin">
        <x:color rgb="FFCBD5DF"/>
      </x:left>
      <x:right style="thin">
        <x:color rgb="FFCBD5DF"/>
      </x:right>
      <x:bottom style="thin">
        <x:color rgb="FFCBD5DF"/>
      </x:bottom>
    </x:border>
    <x:border>
      <x:left style="thin">
        <x:color rgb="FFCBD5DF"/>
      </x:left>
      <x:bottom style="thin">
        <x:color rgb="FFCBD5DF"/>
      </x:bottom>
    </x:border>
    <x:border>
      <x:right style="thin">
        <x:color rgb="FFCBD5DF"/>
      </x:right>
      <x:top style="thin">
        <x:color rgb="FFCBD5DF"/>
      </x:top>
    </x:border>
    <x:border>
      <x:left style="thin">
        <x:color rgb="FFCBD5DF"/>
      </x:left>
      <x:right style="thin">
        <x:color rgb="FFCBD5DF"/>
      </x:right>
      <x:top style="thin">
        <x:color rgb="FFCBD5DF"/>
      </x:top>
    </x:border>
    <x:border>
      <x:left style="thin">
        <x:color rgb="FFCBD5DF"/>
      </x:left>
      <x:top style="thin">
        <x:color rgb="FFCBD5DF"/>
      </x:top>
    </x:border>
    <x:border>
      <x:left style="thin">
        <x:color rgb="FF147D78"/>
      </x:left>
      <x:right style="thin">
        <x:color rgb="FF147D78"/>
      </x:right>
      <x:top style="thin">
        <x:color rgb="FF147D78"/>
      </x:top>
      <x:bottom style="thin">
        <x:color rgb="FF147D78"/>
      </x:bottom>
    </x:border>
    <x:border>
      <x:bottom style="thin">
        <x:color rgb="FFCBD5DF"/>
      </x:bottom>
    </x:border>
    <x:border>
      <x:right style="thin">
        <x:color rgb="FFCBD5DF"/>
      </x:right>
      <x:top style="thin">
        <x:color rgb="FFCBD5DF"/>
      </x:top>
      <x:bottom style="thin">
        <x:color rgb="FFCBD5DF"/>
      </x:bottom>
    </x:border>
    <x:border>
      <x:left style="thin">
        <x:color rgb="FFCBD5DF"/>
      </x:left>
      <x:top style="thin">
        <x:color rgb="FFCBD5DF"/>
      </x:top>
      <x:bottom style="thin">
        <x:color rgb="FFCBD5DF"/>
      </x:bottom>
    </x:border>
    <x:border>
      <x:left style="thin">
        <x:color rgb="FFF4C95D"/>
      </x:left>
      <x:right style="thin">
        <x:color rgb="FFF4C95D"/>
      </x:right>
      <x:top style="thin">
        <x:color rgb="FFF4C95D"/>
      </x:top>
    </x:border>
    <x:border>
      <x:left style="thin">
        <x:color rgb="FFF4C95D"/>
      </x:left>
      <x:right style="thin">
        <x:color rgb="FFF4C95D"/>
      </x:right>
    </x:border>
    <x:border>
      <x:left style="thin">
        <x:color rgb="FFF4C95D"/>
      </x:left>
      <x:right style="thin">
        <x:color rgb="FFF4C95D"/>
      </x:right>
      <x:bottom style="thin">
        <x:color rgb="FFF4C95D"/>
      </x:bottom>
    </x:border>
    <x:border>
      <x:right style="thin">
        <x:color rgb="FF9AC397"/>
      </x:right>
    </x:border>
    <x:border>
      <x:left style="thin">
        <x:color rgb="FF9AC397"/>
      </x:left>
      <x:right style="thin">
        <x:color rgb="FF9AC397"/>
      </x:right>
    </x:border>
    <x:border>
      <x:left style="thin">
        <x:color rgb="FF9AC397"/>
      </x:left>
    </x:border>
    <x:border>
      <x:top style="thin">
        <x:color rgb="FFCBD5DF"/>
      </x:top>
      <x:bottom style="thin">
        <x:color rgb="FFCBD5DF"/>
      </x:bottom>
    </x:border>
    <x:border>
      <x:top style="thin">
        <x:color rgb="FFCBD5DF"/>
      </x:top>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0" xfId="0" applyNumberFormat="1" applyFont="1" applyFill="1" applyBorder="1"/>
    <x:xf numFmtId="0" fontId="4" fillId="5" borderId="10" xfId="0" applyNumberFormat="1" applyFont="1" applyFill="1" applyBorder="1" applyAlignment="1">
      <x:alignment wrapText="1"/>
    </x:xf>
    <x:xf numFmtId="0" fontId="4" fillId="5" borderId="1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11" xfId="0" applyNumberFormat="1" applyFont="1" applyFill="1" applyBorder="1"/>
    <x:xf numFmtId="200" fontId="3" fillId="6" borderId="11" xfId="0" applyNumberFormat="1" applyFont="1" applyFill="1" applyBorder="1"/>
    <x:xf numFmtId="201" fontId="3" fillId="6" borderId="11" xfId="0" applyNumberFormat="1" applyFont="1" applyFill="1" applyBorder="1"/>
    <x:xf numFmtId="0" fontId="3" fillId="6" borderId="11" xfId="0" applyNumberFormat="1" applyFont="1" applyFill="1" applyBorder="1" applyAlignment="1">
      <x:alignment vertical="top"/>
    </x:xf>
    <x:xf numFmtId="200" fontId="3" fillId="6" borderId="11" xfId="0" applyNumberFormat="1" applyFont="1" applyFill="1" applyBorder="1" applyAlignment="1">
      <x:alignment vertical="top"/>
    </x:xf>
    <x:xf numFmtId="201" fontId="3" fillId="6" borderId="11" xfId="0" applyNumberFormat="1" applyFont="1" applyFill="1" applyBorder="1" applyAlignment="1">
      <x:alignment vertical="top"/>
    </x:xf>
    <x:xf numFmtId="0" fontId="3" fillId="6" borderId="11" xfId="0" applyNumberFormat="1" applyFont="1" applyFill="1" applyBorder="1" applyAlignment="1">
      <x:alignment vertical="top" wrapText="1"/>
    </x:xf>
    <x:xf numFmtId="201" fontId="3" fillId="6" borderId="11" xfId="0" applyNumberFormat="1" applyFont="1" applyFill="1" applyBorder="1" applyAlignment="1">
      <x:alignment vertical="top" wrapText="1"/>
    </x:xf>
    <x:xf numFmtId="0" fontId="0" fillId="4" borderId="4" xfId="0" applyNumberFormat="1" applyFont="1" applyFill="1" applyBorder="1"/>
    <x:xf numFmtId="0" fontId="0" fillId="4" borderId="6"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0" fillId="4" borderId="7" xfId="0" applyNumberFormat="1" applyFont="1" applyFill="1" applyBorder="1"/>
    <x:xf numFmtId="0" fontId="0" fillId="4" borderId="9" xfId="0" applyNumberFormat="1" applyFont="1" applyFill="1" applyBorder="1"/>
    <x:xf numFmtId="202" fontId="0" fillId="4" borderId="6" xfId="0" applyNumberFormat="1" applyFont="1" applyFill="1" applyBorder="1"/>
    <x:xf numFmtId="201" fontId="0" fillId="4" borderId="13" xfId="0" applyNumberFormat="1" applyFont="1" applyFill="1" applyBorder="1"/>
    <x:xf numFmtId="201" fontId="0" fillId="4" borderId="9" xfId="0" applyNumberFormat="1" applyFont="1" applyFill="1" applyBorder="1"/>
    <x:xf numFmtId="201" fontId="0" fillId="4" borderId="6"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4"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14" xfId="0" applyNumberFormat="1" applyFont="1" applyFill="1" applyBorder="1"/>
    <x:xf numFmtId="0" fontId="3" fillId="7" borderId="15" xfId="0" applyNumberFormat="1" applyFont="1" applyFill="1" applyBorder="1"/>
    <x:xf numFmtId="0" fontId="3" fillId="7" borderId="16" xfId="0" applyNumberFormat="1" applyFont="1" applyFill="1" applyBorder="1"/>
    <x:xf numFmtId="200" fontId="3" fillId="7" borderId="14" xfId="0" applyNumberFormat="1" applyFont="1" applyFill="1" applyBorder="1"/>
    <x:xf numFmtId="201" fontId="3" fillId="7" borderId="15" xfId="0" applyNumberFormat="1" applyFont="1" applyFill="1" applyBorder="1"/>
    <x:xf numFmtId="0" fontId="6" fillId="5" borderId="0" xfId="0" applyNumberFormat="1" applyFont="1" applyFill="1" applyBorder="1"/>
    <x:xf numFmtId="0" fontId="6" fillId="5" borderId="10" xfId="0" applyNumberFormat="1" applyFont="1" applyFill="1" applyBorder="1"/>
    <x:xf numFmtId="0" fontId="6" fillId="5" borderId="10" xfId="0" applyNumberFormat="1" applyFont="1" applyFill="1" applyBorder="1" applyAlignment="1">
      <x:alignment wrapText="1"/>
    </x:xf>
    <x:xf numFmtId="0" fontId="6" fillId="5" borderId="10"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17" xfId="0" applyNumberFormat="1" applyFont="1" applyFill="1" applyBorder="1"/>
    <x:xf numFmtId="0" fontId="3" fillId="8" borderId="18" xfId="0" applyNumberFormat="1" applyFont="1" applyFill="1" applyBorder="1"/>
    <x:xf numFmtId="0" fontId="3" fillId="8" borderId="19" xfId="0" applyNumberFormat="1" applyFont="1" applyFill="1" applyBorder="1"/>
    <x:xf numFmtId="0" fontId="3" fillId="8" borderId="17" xfId="0" applyNumberFormat="1" applyFont="1" applyFill="1" applyBorder="1" applyAlignment="1">
      <x:alignment wrapText="1"/>
    </x:xf>
    <x:xf numFmtId="0" fontId="3" fillId="8" borderId="18" xfId="0" applyNumberFormat="1" applyFont="1" applyFill="1" applyBorder="1" applyAlignment="1">
      <x:alignment wrapText="1"/>
    </x:xf>
    <x:xf numFmtId="0" fontId="3" fillId="8" borderId="19" xfId="0" applyNumberFormat="1" applyFont="1" applyFill="1" applyBorder="1" applyAlignment="1">
      <x:alignment wrapText="1"/>
    </x:xf>
    <x:xf numFmtId="200" fontId="3" fillId="8" borderId="18" xfId="0" applyNumberFormat="1" applyFont="1" applyFill="1" applyBorder="1" applyAlignment="1">
      <x:alignment wrapText="1"/>
    </x:xf>
    <x:xf numFmtId="201" fontId="3" fillId="8" borderId="18"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2" fillId="3" borderId="11" xfId="0" applyNumberFormat="1" applyFont="1" applyFill="1" applyBorder="1" applyAlignment="1">
      <x:alignment wrapText="1"/>
    </x:xf>
    <x:xf numFmtId="0" fontId="3" fillId="4" borderId="11" xfId="0" applyNumberFormat="1" applyFont="1" applyFill="1" applyBorder="1" applyAlignment="1">
      <x:alignment wrapText="1"/>
    </x:xf>
    <x:xf numFmtId="0" fontId="2" fillId="3" borderId="20" xfId="0" applyNumberFormat="1" applyFont="1" applyFill="1" applyBorder="1" applyAlignment="1">
      <x:alignment wrapText="1"/>
    </x:xf>
    <x:xf numFmtId="0" fontId="3" fillId="4" borderId="20" xfId="0" applyNumberFormat="1" applyFont="1" applyFill="1" applyBorder="1" applyAlignment="1">
      <x:alignment wrapText="1"/>
    </x:xf>
    <x:xf numFmtId="0" fontId="2" fillId="3" borderId="21" xfId="0" applyNumberFormat="1" applyFont="1" applyFill="1" applyBorder="1" applyAlignment="1">
      <x:alignment wrapText="1"/>
    </x:xf>
    <x:xf numFmtId="0" fontId="3" fillId="4" borderId="2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49259644b843d6" /><Relationship Type="http://schemas.openxmlformats.org/officeDocument/2006/relationships/theme" Target="/xl/theme/theme1.xml" Id="Reb0d8bf767f74257" /><Relationship Type="http://schemas.openxmlformats.org/officeDocument/2006/relationships/sharedStrings" Target="/xl/sharedStrings.xml" Id="Ra9a53ec3099c41e0" /><Relationship Type="http://schemas.openxmlformats.org/officeDocument/2006/relationships/worksheet" Target="/xl/worksheets/sheet1.xml" Id="Rcfca23debd314c6d" /><Relationship Type="http://schemas.openxmlformats.org/officeDocument/2006/relationships/worksheet" Target="/xl/worksheets/sheet2.xml" Id="R844ae806d1334473" /><Relationship Type="http://schemas.openxmlformats.org/officeDocument/2006/relationships/worksheet" Target="/xl/worksheets/sheet3.xml" Id="R23a48fb179914cdd" /><Relationship Type="http://schemas.openxmlformats.org/officeDocument/2006/relationships/worksheet" Target="/xl/worksheets/sheet4.xml" Id="Rb8f2539258b4406d" /><Relationship Type="http://schemas.openxmlformats.org/officeDocument/2006/relationships/worksheet" Target="/xl/worksheets/sheet5.xml" Id="Rb7e1fe9ce54f4d77" /></Relationships>
</file>

<file path=xl/tables/table1.xml><?xml version="1.0" encoding="utf-8"?>
<x:table xmlns:x="http://schemas.openxmlformats.org/spreadsheetml/2006/main" id="1" name="ExpenseLogTable" displayName="ExpenseLogTable" ref="A1:M2" headerRowCount="1" totalsRowCount="0" totalsRowShown="0">
  <x:tableColumns count="13">
    <x:tableColumn id="1" name="ID"/>
    <x:tableColumn id="2" name="Date"/>
    <x:tableColumn id="3" name="Vendor"/>
    <x:tableColumn id="4" name="Amount"/>
    <x:tableColumn id="5" name="Category"/>
    <x:tableColumn id="6" name="Business Purpose"/>
    <x:tableColumn id="7" name="Paid By"/>
    <x:tableColumn id="8" name="Payment Method"/>
    <x:tableColumn id="9" name="Reimbursable?"/>
    <x:tableColumn id="10" name="Reimb. Status"/>
    <x:tableColumn id="11" name="Receipt Link"/>
    <x:tableColumn id="12" name="Receipt Filename"/>
    <x:tableColumn id="1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d19aff031545f9"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25" hidden="0" customWidth="1"/>
  </x:cols>
  <x:sheetData>
    <x:row r="1" ht="44" customHeight="1">
      <x:c r="A1" s="4" t="str">
        <x:v>EXPENSE DOCK — SYNTHETIC LOOKUPS
Replace every SYNTHETIC placeholder in your local operational workbook before use.</x:v>
      </x:c>
    </x:row>
    <x:row r="3" ht="30" customHeight="1">
      <x:c r="A3" s="13" t="str">
        <x:v>Categories</x:v>
      </x:c>
      <x:c r="B3" s="14" t="str">
        <x:v>Payment Methods</x:v>
      </x:c>
      <x:c r="C3" s="14" t="str">
        <x:v>Paid By</x:v>
      </x:c>
      <x:c r="D3" s="15" t="str">
        <x:v>Reimbursement Status</x:v>
      </x:c>
    </x:row>
    <x:row r="4">
      <x:c r="A4" s="18" t="str">
        <x:v>SYNTHETIC CATEGORY 1</x:v>
      </x:c>
      <x:c r="B4" s="19" t="str">
        <x:v>SYNTHETIC PAYMENT 1</x:v>
      </x:c>
      <x:c r="C4" s="19" t="str">
        <x:v>SYNTHETIC USER</x:v>
      </x:c>
      <x:c r="D4" s="20" t="str">
        <x:v>SYNTHETIC STATUS 1</x:v>
      </x:c>
    </x:row>
    <x:row r="5">
      <x:c r="A5" s="21" t="str">
        <x:v>SYNTHETIC CATEGORY 2</x:v>
      </x:c>
      <x:c r="B5" s="22" t="str">
        <x:v>SYNTHETIC PAYMENT 2</x:v>
      </x:c>
      <x:c r="C5" s="22" t="str">
        <x:v>SYNTHETIC BUSINESS</x:v>
      </x:c>
      <x:c r="D5" s="23" t="str">
        <x:v>SYNTHETIC STATUS 2</x:v>
      </x:c>
    </x:row>
    <x:row r="8" ht="58" customHeight="1">
      <x:c r="A8" s="28" t="str">
        <x:v>PRIVACY NOTE
This public template contains no operational people, businesses, accounts, vendors, or payment details. Keep real lookup values only in your local workbook and never commit that workbook.</x:v>
      </x:c>
    </x:row>
  </x:sheetData>
  <x:mergeCells>
    <x:mergeCell ref="A1:D1"/>
    <x:mergeCell ref="A8:D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0" hidden="0" customWidth="1"/>
    <x:col min="4" max="4" width="13" hidden="0" customWidth="1"/>
    <x:col min="5" max="5" width="22" hidden="0" customWidth="1"/>
    <x:col min="6" max="6" width="34" hidden="0" customWidth="1"/>
    <x:col min="7" max="7" width="20" hidden="0" customWidth="1"/>
    <x:col min="8" max="8" width="20" hidden="0" customWidth="1"/>
    <x:col min="9" max="9" width="15" hidden="0" customWidth="1"/>
    <x:col min="10" max="10" width="20" hidden="0" customWidth="1"/>
    <x:col min="11" max="11" width="28" hidden="0" customWidth="1"/>
    <x:col min="12" max="12" width="34" hidden="0" customWidth="1"/>
    <x:col min="13" max="13" width="32" hidden="0" customWidth="1"/>
  </x:cols>
  <x:sheetData>
    <x:row r="1" ht="30" customHeight="1">
      <x:c r="A1" s="13" t="str">
        <x:v>ID</x:v>
      </x:c>
      <x:c r="B1" s="14" t="str">
        <x:v>Date</x:v>
      </x:c>
      <x:c r="C1" s="14" t="str">
        <x:v>Vendor</x:v>
      </x:c>
      <x:c r="D1" s="14" t="str">
        <x:v>Amount</x:v>
      </x:c>
      <x:c r="E1" s="14" t="str">
        <x:v>Category</x:v>
      </x:c>
      <x:c r="F1" s="14" t="str">
        <x:v>Business Purpose</x:v>
      </x:c>
      <x:c r="G1" s="14" t="str">
        <x:v>Paid By</x:v>
      </x:c>
      <x:c r="H1" s="14" t="str">
        <x:v>Payment Method</x:v>
      </x:c>
      <x:c r="I1" s="14" t="str">
        <x:v>Reimbursable?</x:v>
      </x:c>
      <x:c r="J1" s="14" t="str">
        <x:v>Reimb. Status</x:v>
      </x:c>
      <x:c r="K1" s="14" t="str">
        <x:v>Receipt Link</x:v>
      </x:c>
      <x:c r="L1" s="14" t="str">
        <x:v>Receipt Filename</x:v>
      </x:c>
      <x:c r="M1" s="15" t="str">
        <x:v>Notes</x:v>
      </x:c>
    </x:row>
    <x:row r="2">
      <x:c r="A2" s="34"/>
      <x:c r="B2" s="35"/>
      <x:c r="C2" s="37"/>
      <x:c r="D2" s="38"/>
      <x:c r="E2" s="37"/>
      <x:c r="F2" s="37"/>
      <x:c r="G2" s="37"/>
      <x:c r="H2" s="37"/>
      <x:c r="I2" s="37"/>
      <x:c r="J2" s="37"/>
      <x:c r="K2" s="37"/>
      <x:c r="L2" s="37"/>
      <x:c r="M2" s="37"/>
    </x:row>
  </x:sheetData>
  <x:dataValidations count="5">
    <x:dataValidation type="list" sqref="E2">
      <x:formula1>'Categories'!$A$4:$A$25</x:formula1>
    </x:dataValidation>
    <x:dataValidation type="list" sqref="G2">
      <x:formula1>'Categories'!$C$4:$C$25</x:formula1>
    </x:dataValidation>
    <x:dataValidation type="list" sqref="H2">
      <x:formula1>'Categories'!$B$4:$B$25</x:formula1>
    </x:dataValidation>
    <x:dataValidation type="list" sqref="I2">
      <x:formula1>"Yes,No"</x:formula1>
    </x:dataValidation>
    <x:dataValidation type="list" sqref="J2">
      <x:formula1>'Categories'!$D$4:$D$25</x:formula1>
    </x:dataValidation>
  </x:dataValidations>
  <x:pageMargins left="0.7" right="0.7" top="0.75" bottom="0.75" header="0.3" footer="0.3"/>
  <x:tableParts count="1">
    <x:tablePart xmlns:r="http://schemas.openxmlformats.org/officeDocument/2006/relationships" r:id="Rd3d19aff031545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 hidden="0" customWidth="1"/>
    <x:col min="4" max="4" width="25" hidden="0" customWidth="1"/>
    <x:col min="5" max="5" width="18" hidden="0" customWidth="1"/>
    <x:col min="6" max="6" width="4" hidden="0" customWidth="1"/>
  </x:cols>
  <x:sheetData>
    <x:row r="1" ht="44" customHeight="1">
      <x:c r="A1" s="4" t="str">
        <x:v>EXPENSE SUMMARY
Formula-driven view of the local Expense Log; the public template starts at zero.</x:v>
      </x:c>
    </x:row>
    <x:row r="3" ht="30" customHeight="1">
      <x:c r="A3" s="13" t="str">
        <x:v>Metric</x:v>
      </x:c>
      <x:c r="B3" s="15" t="str">
        <x:v>Value</x:v>
      </x:c>
      <x:c r="D3" s="13" t="str">
        <x:v>Synthetic Category</x:v>
      </x:c>
      <x:c r="E3" s="15" t="str">
        <x:v>Amount</x:v>
      </x:c>
    </x:row>
    <x:row r="4">
      <x:c r="A4" s="39" t="str">
        <x:v>Expense Count</x:v>
      </x:c>
      <x:c r="B4" s="45" t="n">
        <x:f>COUNT('Expense Log'!$A$2:$A$1001)</x:f>
        <x:v>0</x:v>
      </x:c>
      <x:c r="D4" s="39" t="str">
        <x:f>'Categories'!A4</x:f>
        <x:v>SYNTHETIC CATEGORY 1</x:v>
      </x:c>
      <x:c r="E4" s="48" t="n">
        <x:f>SUMIF('Expense Log'!$E$2:$E$1001,D4,'Expense Log'!$D$2:$D$1001)</x:f>
        <x:v>0</x:v>
      </x:c>
    </x:row>
    <x:row r="5">
      <x:c r="A5" s="41" t="str">
        <x:v>Total Amount</x:v>
      </x:c>
      <x:c r="B5" s="46" t="n">
        <x:f>SUM('Expense Log'!$D$2:$D$1001)</x:f>
        <x:v>0</x:v>
      </x:c>
      <x:c r="D5" s="43" t="str">
        <x:f>'Categories'!A5</x:f>
        <x:v>SYNTHETIC CATEGORY 2</x:v>
      </x:c>
      <x:c r="E5" s="47" t="n">
        <x:f>SUMIF('Expense Log'!$E$2:$E$1001,D5,'Expense Log'!$D$2:$D$1001)</x:f>
        <x:v>0</x:v>
      </x:c>
    </x:row>
    <x:row r="6">
      <x:c r="A6" s="43" t="str">
        <x:v>Reimbursable Amount</x:v>
      </x:c>
      <x:c r="B6" s="47" t="n">
        <x:f>SUMIF('Expense Log'!$I$2:$I$1001,"Yes",'Expense Log'!$D$2:$D$1001)</x:f>
        <x:v>0</x:v>
      </x:c>
    </x:row>
    <x:row r="9" ht="44" customHeight="1">
      <x:c r="A9" s="50" t="str">
        <x:v>This tracked workbook is a schema template only. Replace synthetic lookup placeholders in a private local copy; never enter operational expenses into the repository copy.</x:v>
      </x:c>
    </x:row>
  </x:sheetData>
  <x:mergeCells>
    <x:mergeCell ref="A1:F1"/>
    <x:mergeCell ref="A9:F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18" hidden="0" customWidth="1"/>
    <x:col min="8" max="8" width="18" hidden="0" customWidth="1"/>
    <x:col min="9" max="9" width="18" hidden="0" customWidth="1"/>
    <x:col min="10" max="10" width="18" hidden="0" customWidth="1"/>
    <x:col min="11" max="11" width="26" hidden="0" customWidth="1"/>
    <x:col min="12" max="12" width="26" hidden="0" customWidth="1"/>
    <x:col min="13" max="13" width="26" hidden="0" customWidth="1"/>
  </x:cols>
  <x:sheetData>
    <x:row r="1" ht="44" customHeight="1">
      <x:c r="A1" s="4" t="str">
        <x:v>MANUAL ENTRY FORM
Use only in a private local copy. Yellow cells are inputs; copy the green row as values.</x:v>
      </x:c>
    </x:row>
    <x:row r="3">
      <x:c r="A3" s="51" t="str">
        <x:v>Date</x:v>
      </x:c>
      <x:c r="B3" s="57"/>
      <x:c r="D3" s="62" t="str">
        <x:v>Steps
1. Replace SYNTHETIC lookup placeholders in a private local copy.
2. Fill the yellow cells.
3. Copy the green row below.
4. Paste values into the next blank Expense Log row.
5. Store receipts and workbook only in approved private storage.</x:v>
      </x:c>
    </x:row>
    <x:row r="4">
      <x:c r="A4" s="51" t="str">
        <x:v>Vendor</x:v>
      </x:c>
      <x:c r="B4" s="55"/>
    </x:row>
    <x:row r="5">
      <x:c r="A5" s="51" t="str">
        <x:v>Amount</x:v>
      </x:c>
      <x:c r="B5" s="58"/>
    </x:row>
    <x:row r="6">
      <x:c r="A6" s="51" t="str">
        <x:v>Category</x:v>
      </x:c>
      <x:c r="B6" s="55"/>
    </x:row>
    <x:row r="7">
      <x:c r="A7" s="51" t="str">
        <x:v>Business Purpose</x:v>
      </x:c>
      <x:c r="B7" s="55"/>
    </x:row>
    <x:row r="8">
      <x:c r="A8" s="51" t="str">
        <x:v>Paid By</x:v>
      </x:c>
      <x:c r="B8" s="55"/>
    </x:row>
    <x:row r="9">
      <x:c r="A9" s="51" t="str">
        <x:v>Payment Method</x:v>
      </x:c>
      <x:c r="B9" s="55"/>
    </x:row>
    <x:row r="10">
      <x:c r="A10" s="51" t="str">
        <x:v>Reimbursable?</x:v>
      </x:c>
      <x:c r="B10" s="55"/>
    </x:row>
    <x:row r="11">
      <x:c r="A11" s="51" t="str">
        <x:v>Reimb. Status</x:v>
      </x:c>
      <x:c r="B11" s="55"/>
    </x:row>
    <x:row r="12">
      <x:c r="A12" s="51" t="str">
        <x:v>Receipt Link</x:v>
      </x:c>
      <x:c r="B12" s="55"/>
    </x:row>
    <x:row r="13">
      <x:c r="A13" s="51" t="str">
        <x:v>Receipt Filename</x:v>
      </x:c>
      <x:c r="B13" s="55"/>
    </x:row>
    <x:row r="14">
      <x:c r="A14" s="51" t="str">
        <x:v>Notes</x:v>
      </x:c>
      <x:c r="B14" s="56"/>
    </x:row>
    <x:row r="17" ht="30" customHeight="1">
      <x:c r="A17" s="13" t="str">
        <x:v>ID</x:v>
      </x:c>
      <x:c r="B17" s="14" t="str">
        <x:v>Date</x:v>
      </x:c>
      <x:c r="C17" s="14" t="str">
        <x:v>Vendor</x:v>
      </x:c>
      <x:c r="D17" s="14" t="str">
        <x:v>Amount</x:v>
      </x:c>
      <x:c r="E17" s="14" t="str">
        <x:v>Category</x:v>
      </x:c>
      <x:c r="F17" s="14" t="str">
        <x:v>Business Purpose</x:v>
      </x:c>
      <x:c r="G17" s="14" t="str">
        <x:v>Paid By</x:v>
      </x:c>
      <x:c r="H17" s="14" t="str">
        <x:v>Payment Method</x:v>
      </x:c>
      <x:c r="I17" s="14" t="str">
        <x:v>Reimbursable?</x:v>
      </x:c>
      <x:c r="J17" s="14" t="str">
        <x:v>Reimb. Status</x:v>
      </x:c>
      <x:c r="K17" s="14" t="str">
        <x:v>Receipt Link</x:v>
      </x:c>
      <x:c r="L17" s="14" t="str">
        <x:v>Receipt Filename</x:v>
      </x:c>
      <x:c r="M17" s="15" t="str">
        <x:v>Notes</x:v>
      </x:c>
    </x:row>
    <x:row r="18">
      <x:c r="A18" s="68" t="str">
        <x:f>IF(COUNTA(B3:B14)=0,"",MAX('Expense Log'!$A$2:$A$1001)+1)</x:f>
      </x:c>
      <x:c r="B18" s="71" t="str">
        <x:f>IF(B3="","",B3)</x:f>
      </x:c>
      <x:c r="C18" s="69" t="str">
        <x:f>IF(B4="","",B4)</x:f>
      </x:c>
      <x:c r="D18" s="72" t="str">
        <x:f>IF(B5="","",B5)</x:f>
      </x:c>
      <x:c r="E18" s="69" t="str">
        <x:f>IF(B6="","",B6)</x:f>
      </x:c>
      <x:c r="F18" s="69" t="str">
        <x:f>IF(B7="","",B7)</x:f>
      </x:c>
      <x:c r="G18" s="69" t="str">
        <x:f>IF(B8="","",B8)</x:f>
      </x:c>
      <x:c r="H18" s="69" t="str">
        <x:f>IF(B9="","",B9)</x:f>
      </x:c>
      <x:c r="I18" s="69" t="str">
        <x:f>IF(B10="","",B10)</x:f>
      </x:c>
      <x:c r="J18" s="69" t="str">
        <x:f>IF(B11="","",B11)</x:f>
      </x:c>
      <x:c r="K18" s="69" t="str">
        <x:f>IF(B12="","",B12)</x:f>
      </x:c>
      <x:c r="L18" s="69" t="str">
        <x:f>IF(B13="","",B13)</x:f>
      </x:c>
      <x:c r="M18" s="70" t="str">
        <x:f>IF(B14="","",B14)</x:f>
      </x:c>
    </x:row>
  </x:sheetData>
  <x:mergeCells>
    <x:mergeCell ref="A1:F1"/>
    <x:mergeCell ref="D3:F8"/>
  </x:mergeCells>
  <x:dataValidations count="5">
    <x:dataValidation type="list" sqref="B6">
      <x:formula1>'Categories'!$A$4:$A$25</x:formula1>
    </x:dataValidation>
    <x:dataValidation type="list" sqref="B8">
      <x:formula1>'Categories'!$C$4:$C$25</x:formula1>
    </x:dataValidation>
    <x:dataValidation type="list" sqref="B9">
      <x:formula1>'Categories'!$B$4:$B$25</x:formula1>
    </x:dataValidation>
    <x:dataValidation type="list" sqref="B10">
      <x:formula1>"Yes,No"</x:formula1>
    </x:dataValidation>
    <x:dataValidation type="list" sqref="B11">
      <x:formula1>'Categories'!$D$4:$D$25</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78" hidden="0" customWidth="1"/>
  </x:cols>
  <x:sheetData>
    <x:row r="1" ht="44" customHeight="1">
      <x:c r="A1" s="4" t="str">
        <x:v>EXPENSE DOCK GUIDELINES
Public schema template — operational values belong only in private local/OneDrive storage.</x:v>
      </x:c>
    </x:row>
    <x:row r="3" ht="48" customHeight="1">
      <x:c r="A3" s="75" t="str">
        <x:v>1. Create a private copy</x:v>
      </x:c>
      <x:c r="B3" s="76" t="str">
        <x:v>Copy this template outside the repository before entering any real values.</x:v>
      </x:c>
    </x:row>
    <x:row r="4" ht="48" customHeight="1">
      <x:c r="A4" s="77" t="str">
        <x:v>2. Replace placeholders</x:v>
      </x:c>
      <x:c r="B4" s="78" t="str">
        <x:v>Replace every SYNTHETIC lookup entry on Categories in the private copy.</x:v>
      </x:c>
    </x:row>
    <x:row r="5" ht="48" customHeight="1">
      <x:c r="A5" s="77" t="str">
        <x:v>3. Configure Expense Dock</x:v>
      </x:c>
      <x:c r="B5" s="78" t="str">
        <x:v>Point the app's local runtime configuration at the private OneDrive workbook.</x:v>
      </x:c>
    </x:row>
    <x:row r="6" ht="48" customHeight="1">
      <x:c r="A6" s="77" t="str">
        <x:v>4. Keep the schema</x:v>
      </x:c>
      <x:c r="B6" s="78" t="str">
        <x:v>Keep the exact Expense Log and Categories sheet names and header labels.</x:v>
      </x:c>
    </x:row>
    <x:row r="7" ht="48" customHeight="1">
      <x:c r="A7" s="77" t="str">
        <x:v>5. Attach receipts safely</x:v>
      </x:c>
      <x:c r="B7" s="78" t="str">
        <x:v>Use approved private storage; never add receipts or generated logs to this repository.</x:v>
      </x:c>
    </x:row>
    <x:row r="8" ht="48" customHeight="1">
      <x:c r="A8" s="77" t="str">
        <x:v>6. Manual entry</x:v>
      </x:c>
      <x:c r="B8" s="78" t="str">
        <x:v>Use Entry Form, then paste its green row as values into Expense Log.</x:v>
      </x:c>
    </x:row>
    <x:row r="9" ht="48" customHeight="1">
      <x:c r="A9" s="79" t="str">
        <x:v>7. Privacy check</x:v>
      </x:c>
      <x:c r="B9" s="80" t="str">
        <x:v>Before every commit, verify no operational workbook, receipt, identifier, or generated export is staged.</x:v>
      </x:c>
    </x:row>
  </x:sheetData>
  <x:mergeCells>
    <x:mergeCell ref="A1:F1"/>
  </x:mergeCells>
  <x:pageMargins left="0.7" right="0.7" top="0.75" bottom="0.75" header="0.3" footer="0.3"/>
</x:worksheet>
</file>